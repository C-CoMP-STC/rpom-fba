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heron/Desktop/"/>
    </mc:Choice>
  </mc:AlternateContent>
  <xr:revisionPtr revIDLastSave="0" documentId="13_ncr:1_{B3FE3571-09B8-2D48-8845-B281D66335F6}" xr6:coauthVersionLast="47" xr6:coauthVersionMax="47" xr10:uidLastSave="{00000000-0000-0000-0000-000000000000}"/>
  <bookViews>
    <workbookView xWindow="0" yWindow="660" windowWidth="30240" windowHeight="18980" xr2:uid="{D094A239-479A-424F-BFF7-767922578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34" i="1"/>
  <c r="G31" i="1"/>
  <c r="G24" i="1"/>
  <c r="G25" i="1"/>
  <c r="G26" i="1"/>
  <c r="G27" i="1"/>
  <c r="G28" i="1"/>
  <c r="G29" i="1"/>
  <c r="G30" i="1"/>
  <c r="G23" i="1"/>
  <c r="G20" i="1"/>
  <c r="G13" i="1"/>
  <c r="G14" i="1"/>
  <c r="G15" i="1"/>
  <c r="G16" i="1"/>
  <c r="G17" i="1"/>
  <c r="G18" i="1"/>
  <c r="G19" i="1"/>
  <c r="G12" i="1"/>
  <c r="H3" i="1"/>
  <c r="B37" i="1" s="1" a="1"/>
  <c r="B37" i="1" s="1"/>
  <c r="H4" i="1"/>
  <c r="B39" i="1" s="1" a="1"/>
  <c r="B39" i="1" s="1"/>
  <c r="H5" i="1"/>
  <c r="H6" i="1"/>
  <c r="H7" i="1"/>
  <c r="H8" i="1"/>
  <c r="H9" i="1"/>
  <c r="H2" i="1"/>
  <c r="G3" i="1"/>
  <c r="G4" i="1"/>
  <c r="B38" i="1" s="1" a="1"/>
  <c r="B38" i="1" s="1"/>
  <c r="G5" i="1"/>
  <c r="B40" i="1" s="1" a="1"/>
  <c r="B40" i="1" s="1"/>
  <c r="G6" i="1"/>
  <c r="G7" i="1"/>
  <c r="G8" i="1"/>
  <c r="G9" i="1"/>
  <c r="G2" i="1"/>
  <c r="E11" i="1"/>
  <c r="B36" i="1" a="1"/>
  <c r="B36" i="1" s="1"/>
  <c r="B41" i="1" a="1"/>
  <c r="B41" i="1" s="1"/>
  <c r="B43" i="1" a="1"/>
  <c r="B43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35" i="1" a="1"/>
  <c r="B35" i="1" s="1"/>
  <c r="B34" i="1" a="1"/>
  <c r="B34" i="1" s="1"/>
  <c r="B28" i="1"/>
  <c r="F11" i="1"/>
  <c r="E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D12" i="1" a="1"/>
  <c r="D12" i="1" s="1"/>
  <c r="B12" i="1" a="1"/>
  <c r="B12" i="1" s="1"/>
  <c r="D9" i="1"/>
  <c r="D8" i="1"/>
  <c r="D7" i="1"/>
  <c r="D6" i="1"/>
  <c r="D5" i="1"/>
  <c r="D4" i="1"/>
  <c r="D3" i="1"/>
  <c r="D2" i="1"/>
  <c r="C11" i="1"/>
  <c r="C8" i="1"/>
  <c r="C7" i="1"/>
  <c r="C5" i="1"/>
  <c r="C4" i="1"/>
  <c r="C3" i="1"/>
  <c r="C2" i="1"/>
  <c r="B7" i="1"/>
  <c r="B5" i="1"/>
  <c r="B11" i="1" s="1"/>
  <c r="B4" i="1"/>
  <c r="B3" i="1"/>
  <c r="B2" i="1"/>
  <c r="B44" i="1" l="1" a="1"/>
  <c r="B44" i="1" s="1"/>
  <c r="B42" i="1" a="1"/>
  <c r="B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<sst xmlns="http://schemas.openxmlformats.org/spreadsheetml/2006/main" count="52" uniqueCount="52">
  <si>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PG</t>
  </si>
  <si>
    <t>PE</t>
  </si>
  <si>
    <t>MMPE</t>
  </si>
  <si>
    <t>DMPE</t>
  </si>
  <si>
    <t>LYSO-PE</t>
  </si>
  <si>
    <t>OL</t>
  </si>
  <si>
    <t>QL</t>
  </si>
  <si>
    <t>SAL</t>
  </si>
  <si>
    <t>Inner Membrane</t>
  </si>
  <si>
    <t>Outer Membrane</t>
  </si>
  <si>
    <t>TOTAL:</t>
  </si>
  <si>
    <t>PG C42H77O10P charge=-2 MW=773.042 g/mol</t>
  </si>
  <si>
    <t>PE C41H78NO8P charge=+0 MW=744.048 g/mol</t>
  </si>
  <si>
    <t>MMPE C42H80NO8P charge=+0 MW=758.075 g/mol</t>
  </si>
  <si>
    <t>DMPE C43H82NO8P charge=+0 MW=772.102 g/mol</t>
  </si>
  <si>
    <t>lyso-PE C23H46NO7P charge=+0 MW=479.595 g/mol</t>
  </si>
  <si>
    <t>OL C41H77N2O5 charge=-1 MW=678.076 g/mol</t>
  </si>
  <si>
    <t>QL C41H74N2O6 charge=-2 MW=691.051 g/mol</t>
  </si>
  <si>
    <t>SAL C39H70NO8S charge=-3 MW=713.053 g/mol</t>
  </si>
  <si>
    <t>Molar Mass (g/mol)</t>
  </si>
  <si>
    <t>Model Lipids:</t>
  </si>
  <si>
    <t>grams of IM lipid for 1 mMol of component</t>
  </si>
  <si>
    <t>grams of OM lipid for 1 mMol of component</t>
  </si>
  <si>
    <t>IM Mass Composition</t>
  </si>
  <si>
    <t>OM Mass Composition</t>
  </si>
  <si>
    <t>Total IM Mass (1Mol):</t>
  </si>
  <si>
    <t>Total OM Mass (1 Mol):</t>
  </si>
  <si>
    <t>CHECK IM:</t>
  </si>
  <si>
    <t>CHECK OM:</t>
  </si>
  <si>
    <t>Since outer membrane is asymmetric and inner membrane is bilayer, assume 1:2 ratio between outer and inner membrane</t>
  </si>
  <si>
    <t>IM ratio:</t>
  </si>
  <si>
    <t>OM ratio:</t>
  </si>
  <si>
    <t>total</t>
  </si>
  <si>
    <t>PG_c</t>
  </si>
  <si>
    <t>PG_p</t>
  </si>
  <si>
    <t>PE_c</t>
  </si>
  <si>
    <t>PE_p</t>
  </si>
  <si>
    <t>MMPE_c</t>
  </si>
  <si>
    <t>MMPE_p</t>
  </si>
  <si>
    <t>DMPE_c</t>
  </si>
  <si>
    <t>DMPE_p</t>
  </si>
  <si>
    <t>SAL_p</t>
  </si>
  <si>
    <t>SAL_c</t>
  </si>
  <si>
    <t>QL_p</t>
  </si>
  <si>
    <t>QL_c</t>
  </si>
  <si>
    <t>OL_p</t>
  </si>
  <si>
    <t>OL_c</t>
  </si>
  <si>
    <t>LYSO-PE_p</t>
  </si>
  <si>
    <t>LYSO-PE_c</t>
  </si>
  <si>
    <t>Assume  Periplasm lipid contributes to outer membrane lipid, and that  cytoplasm lipid contributes to the inner membrane</t>
  </si>
  <si>
    <t>grams of inner or outer  lipid for 1 mMol of component</t>
  </si>
  <si>
    <t>grams of LIPID per mmol of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</si>
</sst>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Menlo"/>
      <family val="2"/>
    </font>
    <font>
      <sz val="12"/>
      <color rgb="FFFF0000"/>
      <name val="Aptos Narrow"/>
      <family val="2"/>
      <scheme val="minor"/>
    </font>
    <font>
      <sz val="12"/>
      <color rgb="FF1D1C1D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Menlo"/>
      <family val="2"/>
    </font>
    <font>
      <b/>
      <sz val="12"/>
      <color rgb="FFFF0000"/>
      <name val="Aptos Narrow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4" fillId="0" borderId="0" xfId="0" applyFont="1"/>
    <xf numFmtId="0" fontId="0" fillId="3" borderId="0" xfId="0" applyFill="1"/>
    <xf numFmtId="0" fontId="6" fillId="3" borderId="0" xfId="0" applyFont="1" applyFill="1"/>
    <xf numFmtId="0" fontId="0" fillId="0" borderId="0" xfId="0" applyFill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4D88-6EB3-3440-9E55-06BDA8EC0F88}">
  <dimension ref="A1:K49"/>
  <sheetViews>
    <sheetView tabSelected="1" topLeftCell="A23" zoomScale="184" workbookViewId="0">
      <selection activeCell="E31" sqref="E31"/>
    </sheetView>
  </sheetViews>
  <sheetFormatPr baseColWidth="10" defaultColWidth="10.83203125" defaultRowHeight="16" x14ac:dyDescent="0.2"/>
  <cols>
    <col min="2" max="2" width="14.33203125" bestFit="1" customWidth="1"/>
    <col min="3" max="3" width="14.83203125" bestFit="1" customWidth="1"/>
    <col min="4" max="4" width="16.6640625" bestFit="1" customWidth="1"/>
    <col min="5" max="5" width="18.5" bestFit="1" customWidth="1"/>
    <col min="6" max="6" width="19.33203125" bestFit="1" customWidth="1"/>
    <col min="7" max="7" width="34.6640625" bestFit="1" customWidth="1"/>
    <col min="8" max="8" width="35.5" bestFit="1" customWidth="1"/>
    <col min="9" max="9" width="19.6640625" bestFit="1" customWidth="1"/>
    <col min="10" max="10" width="18.6640625" bestFit="1" customWidth="1"/>
  </cols>
  <sheetData>
    <row r="1" spans="1:10" x14ac:dyDescent="0.2">
      <c r="B1" t="s">
        <v>8</v>
      </c>
      <c r="C1" t="s">
        <v>9</v>
      </c>
      <c r="D1" t="s">
        <v>19</v>
      </c>
      <c r="E1" t="s">
        <v>23</v>
      </c>
      <c r="F1" t="s">
        <v>24</v>
      </c>
      <c r="G1" t="s">
        <v>21</v>
      </c>
      <c r="H1" t="s">
        <v>22</v>
      </c>
      <c r="J1" s="6"/>
    </row>
    <row r="2" spans="1:10" x14ac:dyDescent="0.2">
      <c r="A2" t="s">
        <v>0</v>
      </c>
      <c r="B2">
        <f>100-39</f>
        <v>61</v>
      </c>
      <c r="C2">
        <f>100-54.8</f>
        <v>45.2</v>
      </c>
      <c r="D2">
        <f>773.042</f>
        <v>773.04200000000003</v>
      </c>
      <c r="E2">
        <f>B2/100*D2/$B$12</f>
        <v>0.6280999327570127</v>
      </c>
      <c r="F2">
        <f>C2/100*D2/$D$12</f>
        <v>0.46921840821833111</v>
      </c>
      <c r="G2" s="2">
        <f>(D2/1000)*E2</f>
        <v>0.48554762821834663</v>
      </c>
      <c r="H2" s="2">
        <f>(D2/1000)*F2</f>
        <v>0.36272553672591512</v>
      </c>
      <c r="J2" s="6"/>
    </row>
    <row r="3" spans="1:10" x14ac:dyDescent="0.2">
      <c r="A3" t="s">
        <v>1</v>
      </c>
      <c r="B3">
        <f>39-34.4</f>
        <v>4.6000000000000014</v>
      </c>
      <c r="C3">
        <f>54.8-48.9</f>
        <v>5.8999999999999986</v>
      </c>
      <c r="D3">
        <f>744.048</f>
        <v>744.048</v>
      </c>
      <c r="E3">
        <f t="shared" ref="E3:E9" si="0">B3/100*D3/$B$12</f>
        <v>4.5588426967167806E-2</v>
      </c>
      <c r="F3">
        <f t="shared" ref="F3:F9" si="1">C3/100*D3/$D$12</f>
        <v>5.8950362797503639E-2</v>
      </c>
      <c r="G3" s="2">
        <f t="shared" ref="G3:G9" si="2">(D3/1000)*E3</f>
        <v>3.3919977908067271E-2</v>
      </c>
      <c r="H3" s="2">
        <f t="shared" ref="H3:H9" si="3">(D3/1000)*F3</f>
        <v>4.3861899538756993E-2</v>
      </c>
      <c r="J3" s="6"/>
    </row>
    <row r="4" spans="1:10" x14ac:dyDescent="0.2">
      <c r="A4" t="s">
        <v>2</v>
      </c>
      <c r="B4">
        <f>34.4-21.9</f>
        <v>12.5</v>
      </c>
      <c r="C4">
        <f>48.9-29.6</f>
        <v>19.299999999999997</v>
      </c>
      <c r="D4">
        <f>758.075</f>
        <v>758.07500000000005</v>
      </c>
      <c r="E4">
        <f t="shared" si="0"/>
        <v>0.12621704533093372</v>
      </c>
      <c r="F4">
        <f t="shared" si="1"/>
        <v>0.19647305608494306</v>
      </c>
      <c r="G4" s="2">
        <f t="shared" si="2"/>
        <v>9.5681986639247596E-2</v>
      </c>
      <c r="H4" s="2">
        <f t="shared" si="3"/>
        <v>0.14894131199159322</v>
      </c>
      <c r="J4" s="6"/>
    </row>
    <row r="5" spans="1:10" x14ac:dyDescent="0.2">
      <c r="A5" t="s">
        <v>3</v>
      </c>
      <c r="B5">
        <f>21.9-20.9</f>
        <v>1</v>
      </c>
      <c r="C5">
        <f>29.6-28</f>
        <v>1.6000000000000014</v>
      </c>
      <c r="D5">
        <f>772.102</f>
        <v>772.10199999999998</v>
      </c>
      <c r="E5">
        <f t="shared" si="0"/>
        <v>1.0284199651391178E-2</v>
      </c>
      <c r="F5">
        <f t="shared" si="1"/>
        <v>1.6589304432219319E-2</v>
      </c>
      <c r="G5" s="2">
        <f t="shared" si="2"/>
        <v>7.940451119238431E-3</v>
      </c>
      <c r="H5" s="2">
        <f t="shared" si="3"/>
        <v>1.28086351307254E-2</v>
      </c>
      <c r="J5" s="6"/>
    </row>
    <row r="6" spans="1:10" x14ac:dyDescent="0.2">
      <c r="A6" t="s">
        <v>4</v>
      </c>
      <c r="B6">
        <v>0.5</v>
      </c>
      <c r="C6">
        <v>0.3</v>
      </c>
      <c r="D6">
        <f>479.595</f>
        <v>479.59500000000003</v>
      </c>
      <c r="E6">
        <f t="shared" si="0"/>
        <v>3.1940408986176386E-3</v>
      </c>
      <c r="F6">
        <f t="shared" si="1"/>
        <v>1.9320991897371282E-3</v>
      </c>
      <c r="G6" s="2">
        <f t="shared" si="2"/>
        <v>1.5318460447725265E-3</v>
      </c>
      <c r="H6" s="2">
        <f t="shared" si="3"/>
        <v>9.2662511090197807E-4</v>
      </c>
      <c r="J6" s="6"/>
    </row>
    <row r="7" spans="1:10" x14ac:dyDescent="0.2">
      <c r="A7" t="s">
        <v>5</v>
      </c>
      <c r="B7">
        <f>20.4-13.7</f>
        <v>6.6999999999999993</v>
      </c>
      <c r="C7">
        <f>27.7-25.1</f>
        <v>2.5999999999999979</v>
      </c>
      <c r="D7">
        <f>678.076</f>
        <v>678.07600000000002</v>
      </c>
      <c r="E7">
        <f t="shared" si="0"/>
        <v>6.0513043679296309E-2</v>
      </c>
      <c r="F7">
        <f t="shared" si="1"/>
        <v>2.3674741079928539E-2</v>
      </c>
      <c r="G7" s="2">
        <f t="shared" si="2"/>
        <v>4.1032442605882527E-2</v>
      </c>
      <c r="H7" s="2">
        <f t="shared" si="3"/>
        <v>1.6053273732513623E-2</v>
      </c>
      <c r="J7" s="6"/>
    </row>
    <row r="8" spans="1:10" x14ac:dyDescent="0.2">
      <c r="A8" t="s">
        <v>6</v>
      </c>
      <c r="B8">
        <v>13.7</v>
      </c>
      <c r="C8">
        <f>25.1-0.8</f>
        <v>24.3</v>
      </c>
      <c r="D8">
        <f>691.051</f>
        <v>691.05100000000004</v>
      </c>
      <c r="E8">
        <f t="shared" si="0"/>
        <v>0.12610331071558067</v>
      </c>
      <c r="F8">
        <f t="shared" si="1"/>
        <v>0.22550173636199211</v>
      </c>
      <c r="G8" s="2">
        <f t="shared" si="2"/>
        <v>8.7143818973312748E-2</v>
      </c>
      <c r="H8" s="2">
        <f t="shared" si="3"/>
        <v>0.15583320041469104</v>
      </c>
      <c r="J8" s="6"/>
    </row>
    <row r="9" spans="1:10" x14ac:dyDescent="0.2">
      <c r="A9" t="s">
        <v>7</v>
      </c>
      <c r="B9">
        <v>0</v>
      </c>
      <c r="C9">
        <v>0.8</v>
      </c>
      <c r="D9">
        <f>713.053</f>
        <v>713.053</v>
      </c>
      <c r="E9">
        <f t="shared" si="0"/>
        <v>0</v>
      </c>
      <c r="F9">
        <f t="shared" si="1"/>
        <v>7.6602918353451191E-3</v>
      </c>
      <c r="G9" s="2">
        <f t="shared" si="2"/>
        <v>0</v>
      </c>
      <c r="H9" s="2">
        <f t="shared" si="3"/>
        <v>5.4621940740683435E-3</v>
      </c>
      <c r="J9" s="6"/>
    </row>
    <row r="10" spans="1:10" x14ac:dyDescent="0.2">
      <c r="J10" s="6"/>
    </row>
    <row r="11" spans="1:10" x14ac:dyDescent="0.2">
      <c r="A11" t="s">
        <v>10</v>
      </c>
      <c r="B11">
        <f>SUM(B2:B9)</f>
        <v>100</v>
      </c>
      <c r="C11">
        <f>SUM(C2:C9)</f>
        <v>99.999999999999986</v>
      </c>
      <c r="E11">
        <f>SUM(E2:E10)</f>
        <v>1</v>
      </c>
      <c r="F11">
        <f>SUM(F2:F9)</f>
        <v>0.99999999999999989</v>
      </c>
      <c r="G11" t="s">
        <v>27</v>
      </c>
    </row>
    <row r="12" spans="1:10" x14ac:dyDescent="0.2">
      <c r="A12" t="s">
        <v>25</v>
      </c>
      <c r="B12" cm="1">
        <f t="array" ref="B12">SUMPRODUCT(B2:B9/100,D2:D9)</f>
        <v>750.76527699999997</v>
      </c>
      <c r="C12" t="s">
        <v>26</v>
      </c>
      <c r="D12" cm="1">
        <f t="array" ref="D12">SUMPRODUCT(C2:C9/100, D2:D9)</f>
        <v>744.67450099999996</v>
      </c>
      <c r="G12">
        <f>G2/D2*1000</f>
        <v>0.6280999327570127</v>
      </c>
    </row>
    <row r="13" spans="1:10" x14ac:dyDescent="0.2">
      <c r="G13">
        <f t="shared" ref="G13:G19" si="4">G3/D3*1000</f>
        <v>4.5588426967167806E-2</v>
      </c>
    </row>
    <row r="14" spans="1:10" x14ac:dyDescent="0.2">
      <c r="A14" t="s">
        <v>20</v>
      </c>
      <c r="G14">
        <f t="shared" si="4"/>
        <v>0.12621704533093372</v>
      </c>
    </row>
    <row r="15" spans="1:10" x14ac:dyDescent="0.2">
      <c r="A15" s="1" t="s">
        <v>11</v>
      </c>
      <c r="G15">
        <f t="shared" si="4"/>
        <v>1.0284199651391178E-2</v>
      </c>
    </row>
    <row r="16" spans="1:10" x14ac:dyDescent="0.2">
      <c r="A16" s="1" t="s">
        <v>12</v>
      </c>
      <c r="G16">
        <f t="shared" si="4"/>
        <v>3.1940408986176386E-3</v>
      </c>
    </row>
    <row r="17" spans="1:11" x14ac:dyDescent="0.2">
      <c r="A17" s="1" t="s">
        <v>13</v>
      </c>
      <c r="G17">
        <f t="shared" si="4"/>
        <v>6.0513043679296316E-2</v>
      </c>
    </row>
    <row r="18" spans="1:11" x14ac:dyDescent="0.2">
      <c r="A18" s="1" t="s">
        <v>14</v>
      </c>
      <c r="G18">
        <f t="shared" si="4"/>
        <v>0.12610331071558067</v>
      </c>
    </row>
    <row r="19" spans="1:11" x14ac:dyDescent="0.2">
      <c r="A19" s="1" t="s">
        <v>15</v>
      </c>
      <c r="G19">
        <f t="shared" si="4"/>
        <v>0</v>
      </c>
    </row>
    <row r="20" spans="1:11" x14ac:dyDescent="0.2">
      <c r="A20" s="1" t="s">
        <v>16</v>
      </c>
      <c r="G20" s="4">
        <f>SUM(G12:G19)</f>
        <v>1</v>
      </c>
      <c r="K20" s="7"/>
    </row>
    <row r="21" spans="1:11" x14ac:dyDescent="0.2">
      <c r="A21" s="1" t="s">
        <v>17</v>
      </c>
    </row>
    <row r="22" spans="1:11" x14ac:dyDescent="0.2">
      <c r="A22" s="1" t="s">
        <v>18</v>
      </c>
      <c r="G22" t="s">
        <v>28</v>
      </c>
    </row>
    <row r="23" spans="1:11" x14ac:dyDescent="0.2">
      <c r="G23">
        <f>H2/D2*1000</f>
        <v>0.46921840821833105</v>
      </c>
    </row>
    <row r="24" spans="1:11" x14ac:dyDescent="0.2">
      <c r="A24" s="5" t="s">
        <v>29</v>
      </c>
      <c r="G24">
        <f t="shared" ref="G24:G30" si="5">H3/D3*1000</f>
        <v>5.8950362797503646E-2</v>
      </c>
    </row>
    <row r="25" spans="1:11" x14ac:dyDescent="0.2">
      <c r="B25" s="3"/>
      <c r="G25">
        <f t="shared" si="5"/>
        <v>0.19647305608494306</v>
      </c>
    </row>
    <row r="26" spans="1:11" x14ac:dyDescent="0.2">
      <c r="A26" t="s">
        <v>31</v>
      </c>
      <c r="B26" s="3">
        <v>1</v>
      </c>
      <c r="G26">
        <f t="shared" si="5"/>
        <v>1.6589304432219319E-2</v>
      </c>
    </row>
    <row r="27" spans="1:11" x14ac:dyDescent="0.2">
      <c r="A27" t="s">
        <v>30</v>
      </c>
      <c r="B27">
        <v>2</v>
      </c>
      <c r="G27">
        <f t="shared" si="5"/>
        <v>1.9320991897371284E-3</v>
      </c>
    </row>
    <row r="28" spans="1:11" x14ac:dyDescent="0.2">
      <c r="A28" t="s">
        <v>32</v>
      </c>
      <c r="B28">
        <f>SUM(B26:B27)</f>
        <v>3</v>
      </c>
      <c r="G28">
        <f t="shared" si="5"/>
        <v>2.3674741079928539E-2</v>
      </c>
    </row>
    <row r="29" spans="1:11" x14ac:dyDescent="0.2">
      <c r="G29">
        <f t="shared" si="5"/>
        <v>0.22550173636199214</v>
      </c>
    </row>
    <row r="30" spans="1:11" x14ac:dyDescent="0.2">
      <c r="A30" t="s">
        <v>49</v>
      </c>
      <c r="G30">
        <f t="shared" si="5"/>
        <v>7.66029183534512E-3</v>
      </c>
    </row>
    <row r="31" spans="1:11" x14ac:dyDescent="0.2">
      <c r="G31" s="4">
        <f>SUM(G23:G30)</f>
        <v>0.99999999999999989</v>
      </c>
    </row>
    <row r="33" spans="1:5" x14ac:dyDescent="0.2">
      <c r="A33" s="8"/>
      <c r="B33" s="8" t="s">
        <v>50</v>
      </c>
      <c r="C33" s="9" t="s">
        <v>51</v>
      </c>
    </row>
    <row r="34" spans="1:5" x14ac:dyDescent="0.2">
      <c r="A34" s="8" t="s">
        <v>33</v>
      </c>
      <c r="B34" s="8" cm="1">
        <f t="array" ref="B34">IF(MOD(ROW(),2)=0, INDEX(G:G, ROW()/2-15), INDEX(H:H, ROW()/2-16))</f>
        <v>0.48554762821834663</v>
      </c>
      <c r="C34" s="9">
        <f>IF(MOD(ROW(),2)=0,B34*$B$27/$B$28,B34*$B$26/$B$28)</f>
        <v>0.3236984188122311</v>
      </c>
    </row>
    <row r="35" spans="1:5" x14ac:dyDescent="0.2">
      <c r="A35" s="8" t="s">
        <v>34</v>
      </c>
      <c r="B35" s="8" cm="1">
        <f t="array" ref="B35">IF(MOD(ROW(),2)=0, INDEX(G:G, ROW()/2-15), INDEX(H:H, ROW()/2-15))</f>
        <v>0.36272553672591512</v>
      </c>
      <c r="C35" s="9">
        <f t="shared" ref="C35:C49" si="6">IF(MOD(ROW(),2)=0,B35*$B$27/$B$28,B35*$B$26/$B$28)</f>
        <v>0.1209085122419717</v>
      </c>
    </row>
    <row r="36" spans="1:5" x14ac:dyDescent="0.2">
      <c r="A36" s="8" t="s">
        <v>35</v>
      </c>
      <c r="B36" s="8" cm="1">
        <f t="array" ref="B36">IF(MOD(ROW(),2)=0, INDEX(G:G, ROW()/2-15), INDEX(H:H, ROW()/2-15))</f>
        <v>3.3919977908067271E-2</v>
      </c>
      <c r="C36" s="9">
        <f t="shared" si="6"/>
        <v>2.2613318605378182E-2</v>
      </c>
    </row>
    <row r="37" spans="1:5" x14ac:dyDescent="0.2">
      <c r="A37" s="8" t="s">
        <v>36</v>
      </c>
      <c r="B37" s="8" cm="1">
        <f t="array" ref="B37">IF(MOD(ROW(),2)=0, INDEX(G:G, ROW()/2-15), INDEX(H:H, ROW()/2-15))</f>
        <v>4.3861899538756993E-2</v>
      </c>
      <c r="C37" s="9">
        <f t="shared" si="6"/>
        <v>1.4620633179585665E-2</v>
      </c>
    </row>
    <row r="38" spans="1:5" x14ac:dyDescent="0.2">
      <c r="A38" s="8" t="s">
        <v>37</v>
      </c>
      <c r="B38" s="8" cm="1">
        <f t="array" ref="B38">IF(MOD(ROW(),2)=0, INDEX(G:G, ROW()/2-15), INDEX(H:H, ROW()/2-15))</f>
        <v>9.5681986639247596E-2</v>
      </c>
      <c r="C38" s="9">
        <f t="shared" si="6"/>
        <v>6.3787991092831731E-2</v>
      </c>
    </row>
    <row r="39" spans="1:5" x14ac:dyDescent="0.2">
      <c r="A39" s="8" t="s">
        <v>38</v>
      </c>
      <c r="B39" s="8" cm="1">
        <f t="array" ref="B39">IF(MOD(ROW(),2)=0, INDEX(G:G, ROW()/2-15), INDEX(H:H, ROW()/2-15))</f>
        <v>0.14894131199159322</v>
      </c>
      <c r="C39" s="9">
        <f t="shared" si="6"/>
        <v>4.9647103997197739E-2</v>
      </c>
    </row>
    <row r="40" spans="1:5" x14ac:dyDescent="0.2">
      <c r="A40" s="8" t="s">
        <v>39</v>
      </c>
      <c r="B40" s="8" cm="1">
        <f t="array" ref="B40">IF(MOD(ROW(),2)=0, INDEX(G:G, ROW()/2-15), INDEX(H:H, ROW()/2-15))</f>
        <v>7.940451119238431E-3</v>
      </c>
      <c r="C40" s="9">
        <f t="shared" si="6"/>
        <v>5.2936340794922871E-3</v>
      </c>
      <c r="D40" s="10"/>
      <c r="E40" s="11"/>
    </row>
    <row r="41" spans="1:5" x14ac:dyDescent="0.2">
      <c r="A41" s="8" t="s">
        <v>40</v>
      </c>
      <c r="B41" s="8" cm="1">
        <f t="array" ref="B41">IF(MOD(ROW(),2)=0, INDEX(G:G, ROW()/2-15), INDEX(H:H, ROW()/2-15))</f>
        <v>1.28086351307254E-2</v>
      </c>
      <c r="C41" s="9">
        <f t="shared" si="6"/>
        <v>4.2695450435751335E-3</v>
      </c>
    </row>
    <row r="42" spans="1:5" x14ac:dyDescent="0.2">
      <c r="A42" s="8" t="s">
        <v>48</v>
      </c>
      <c r="B42" s="8" cm="1">
        <f t="array" ref="B42">IF(MOD(ROW(),2)=0, INDEX(G:G, ROW()/2-15), INDEX(H:H, ROW()/2-15))</f>
        <v>1.5318460447725265E-3</v>
      </c>
      <c r="C42" s="9">
        <f t="shared" si="6"/>
        <v>1.0212306965150177E-3</v>
      </c>
    </row>
    <row r="43" spans="1:5" x14ac:dyDescent="0.2">
      <c r="A43" s="8" t="s">
        <v>47</v>
      </c>
      <c r="B43" s="8" cm="1">
        <f t="array" ref="B43">IF(MOD(ROW(),2)=0, INDEX(G:G, ROW()/2-15), INDEX(H:H, ROW()/2-15))</f>
        <v>9.2662511090197807E-4</v>
      </c>
      <c r="C43" s="9">
        <f t="shared" si="6"/>
        <v>3.0887503696732602E-4</v>
      </c>
    </row>
    <row r="44" spans="1:5" x14ac:dyDescent="0.2">
      <c r="A44" s="8" t="s">
        <v>46</v>
      </c>
      <c r="B44" s="8" cm="1">
        <f t="array" ref="B44">IF(MOD(ROW(),2)=0, INDEX(G:G, ROW()/2-15), INDEX(H:H, ROW()/2-15))</f>
        <v>4.1032442605882527E-2</v>
      </c>
      <c r="C44" s="9">
        <f t="shared" si="6"/>
        <v>2.7354961737255018E-2</v>
      </c>
    </row>
    <row r="45" spans="1:5" x14ac:dyDescent="0.2">
      <c r="A45" s="8" t="s">
        <v>45</v>
      </c>
      <c r="B45" s="8" cm="1">
        <f t="array" ref="B45">IF(MOD(ROW(),2)=0, INDEX(G:G, ROW()/2-15), INDEX(H:H, ROW()/2-15))</f>
        <v>1.6053273732513623E-2</v>
      </c>
      <c r="C45" s="9">
        <f t="shared" si="6"/>
        <v>5.3510912441712072E-3</v>
      </c>
    </row>
    <row r="46" spans="1:5" x14ac:dyDescent="0.2">
      <c r="A46" s="8" t="s">
        <v>44</v>
      </c>
      <c r="B46" s="8" cm="1">
        <f t="array" ref="B46">IF(MOD(ROW(),2)=0, INDEX(G:G, ROW()/2-15), INDEX(H:H, ROW()/2-15))</f>
        <v>8.7143818973312748E-2</v>
      </c>
      <c r="C46" s="9">
        <f t="shared" si="6"/>
        <v>5.8095879315541832E-2</v>
      </c>
    </row>
    <row r="47" spans="1:5" x14ac:dyDescent="0.2">
      <c r="A47" s="8" t="s">
        <v>43</v>
      </c>
      <c r="B47" s="8" cm="1">
        <f t="array" ref="B47">IF(MOD(ROW(),2)=0, INDEX(G:G, ROW()/2-15), INDEX(H:H, ROW()/2-15))</f>
        <v>0.15583320041469104</v>
      </c>
      <c r="C47" s="9">
        <f t="shared" si="6"/>
        <v>5.1944400138230346E-2</v>
      </c>
    </row>
    <row r="48" spans="1:5" x14ac:dyDescent="0.2">
      <c r="A48" s="8" t="s">
        <v>42</v>
      </c>
      <c r="B48" s="8" cm="1">
        <f t="array" ref="B48">IF(MOD(ROW(),2)=0, INDEX(G:G, ROW()/2-15), INDEX(H:H, ROW()/2-15))</f>
        <v>0</v>
      </c>
      <c r="C48" s="9">
        <f t="shared" si="6"/>
        <v>0</v>
      </c>
    </row>
    <row r="49" spans="1:3" x14ac:dyDescent="0.2">
      <c r="A49" s="8" t="s">
        <v>41</v>
      </c>
      <c r="B49" s="8" cm="1">
        <f t="array" ref="B49">IF(MOD(ROW(),2)=0, INDEX(G:G, ROW()/2-15), INDEX(H:H, ROW()/2-15))</f>
        <v>5.4621940740683435E-3</v>
      </c>
      <c r="C49" s="9">
        <f t="shared" si="6"/>
        <v>1.8207313580227813E-3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Paul, Jean Sebastien T. (Js)</dc:creator>
  <cp:lastModifiedBy>Paul, Jean Sebastien T. (Js)</cp:lastModifiedBy>
  <dcterms:created xsi:type="dcterms:W3CDTF">2026-03-10T21:23:15Z</dcterms:created>
  <dcterms:modified xsi:type="dcterms:W3CDTF">2026-03-23T00:49:41Z</dcterms:modified>
</cp:coreProperties>
</file>